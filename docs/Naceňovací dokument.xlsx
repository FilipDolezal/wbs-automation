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8_{4AE27C5D-A7D5-4FC7-9156-AEDC9605EA1E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Nacenění" sheetId="5" r:id="rId1"/>
    <sheet name="WBS - operativní činnosti" sheetId="1" r:id="rId2"/>
    <sheet name="WBS - vývoj" sheetId="4" r:id="rId3"/>
    <sheet name="Konfigurace režií na úkolech" sheetId="2" r:id="rId4"/>
    <sheet name="Konfigurace komplexity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G2" i="4"/>
  <c r="H2" i="4"/>
  <c r="H3" i="4"/>
  <c r="J3" i="4" s="1"/>
  <c r="H100" i="4"/>
  <c r="J100" i="4" s="1"/>
  <c r="H99" i="4"/>
  <c r="J99" i="4" s="1"/>
  <c r="H98" i="4"/>
  <c r="J98" i="4" s="1"/>
  <c r="H97" i="4"/>
  <c r="J97" i="4" s="1"/>
  <c r="H96" i="4"/>
  <c r="J96" i="4" s="1"/>
  <c r="H95" i="4"/>
  <c r="J95" i="4" s="1"/>
  <c r="H94" i="4"/>
  <c r="J94" i="4" s="1"/>
  <c r="H93" i="4"/>
  <c r="J93" i="4" s="1"/>
  <c r="H92" i="4"/>
  <c r="J92" i="4" s="1"/>
  <c r="H91" i="4"/>
  <c r="J91" i="4" s="1"/>
  <c r="H90" i="4"/>
  <c r="J90" i="4" s="1"/>
  <c r="H89" i="4"/>
  <c r="J89" i="4" s="1"/>
  <c r="H88" i="4"/>
  <c r="J88" i="4" s="1"/>
  <c r="H87" i="4"/>
  <c r="J87" i="4" s="1"/>
  <c r="H86" i="4"/>
  <c r="J86" i="4" s="1"/>
  <c r="H85" i="4"/>
  <c r="J85" i="4" s="1"/>
  <c r="H84" i="4"/>
  <c r="J84" i="4" s="1"/>
  <c r="H83" i="4"/>
  <c r="J83" i="4" s="1"/>
  <c r="H82" i="4"/>
  <c r="J82" i="4" s="1"/>
  <c r="H81" i="4"/>
  <c r="J81" i="4" s="1"/>
  <c r="H80" i="4"/>
  <c r="J80" i="4" s="1"/>
  <c r="H79" i="4"/>
  <c r="J79" i="4" s="1"/>
  <c r="H78" i="4"/>
  <c r="J78" i="4" s="1"/>
  <c r="H77" i="4"/>
  <c r="J77" i="4" s="1"/>
  <c r="H76" i="4"/>
  <c r="J76" i="4" s="1"/>
  <c r="H75" i="4"/>
  <c r="J75" i="4" s="1"/>
  <c r="H74" i="4"/>
  <c r="J74" i="4" s="1"/>
  <c r="H73" i="4"/>
  <c r="J73" i="4" s="1"/>
  <c r="H72" i="4"/>
  <c r="J72" i="4" s="1"/>
  <c r="H71" i="4"/>
  <c r="J71" i="4" s="1"/>
  <c r="H70" i="4"/>
  <c r="J70" i="4" s="1"/>
  <c r="H69" i="4"/>
  <c r="J69" i="4" s="1"/>
  <c r="H68" i="4"/>
  <c r="J68" i="4" s="1"/>
  <c r="H67" i="4"/>
  <c r="J67" i="4" s="1"/>
  <c r="H66" i="4"/>
  <c r="J66" i="4" s="1"/>
  <c r="H65" i="4"/>
  <c r="J65" i="4" s="1"/>
  <c r="H64" i="4"/>
  <c r="J64" i="4" s="1"/>
  <c r="H63" i="4"/>
  <c r="J63" i="4" s="1"/>
  <c r="H62" i="4"/>
  <c r="J62" i="4" s="1"/>
  <c r="H61" i="4"/>
  <c r="J61" i="4" s="1"/>
  <c r="H60" i="4"/>
  <c r="J60" i="4" s="1"/>
  <c r="H59" i="4"/>
  <c r="J59" i="4" s="1"/>
  <c r="H58" i="4"/>
  <c r="J58" i="4" s="1"/>
  <c r="H57" i="4"/>
  <c r="J57" i="4" s="1"/>
  <c r="H56" i="4"/>
  <c r="J56" i="4" s="1"/>
  <c r="H55" i="4"/>
  <c r="J55" i="4" s="1"/>
  <c r="H54" i="4"/>
  <c r="J54" i="4" s="1"/>
  <c r="H53" i="4"/>
  <c r="J53" i="4" s="1"/>
  <c r="H52" i="4"/>
  <c r="J52" i="4" s="1"/>
  <c r="H51" i="4"/>
  <c r="J51" i="4" s="1"/>
  <c r="H50" i="4"/>
  <c r="J50" i="4" s="1"/>
  <c r="H49" i="4"/>
  <c r="J49" i="4" s="1"/>
  <c r="H48" i="4"/>
  <c r="J48" i="4" s="1"/>
  <c r="H47" i="4"/>
  <c r="J47" i="4" s="1"/>
  <c r="H46" i="4"/>
  <c r="J46" i="4" s="1"/>
  <c r="H45" i="4"/>
  <c r="J45" i="4" s="1"/>
  <c r="H44" i="4"/>
  <c r="J44" i="4" s="1"/>
  <c r="H43" i="4"/>
  <c r="J43" i="4" s="1"/>
  <c r="H42" i="4"/>
  <c r="J42" i="4" s="1"/>
  <c r="H41" i="4"/>
  <c r="J41" i="4" s="1"/>
  <c r="H40" i="4"/>
  <c r="J40" i="4" s="1"/>
  <c r="H39" i="4"/>
  <c r="J39" i="4" s="1"/>
  <c r="H38" i="4"/>
  <c r="J38" i="4" s="1"/>
  <c r="H37" i="4"/>
  <c r="J37" i="4" s="1"/>
  <c r="H36" i="4"/>
  <c r="J36" i="4" s="1"/>
  <c r="H35" i="4"/>
  <c r="J35" i="4" s="1"/>
  <c r="H34" i="4"/>
  <c r="J34" i="4" s="1"/>
  <c r="H33" i="4"/>
  <c r="J33" i="4" s="1"/>
  <c r="H32" i="4"/>
  <c r="J32" i="4" s="1"/>
  <c r="H31" i="4"/>
  <c r="J31" i="4" s="1"/>
  <c r="H30" i="4"/>
  <c r="J30" i="4" s="1"/>
  <c r="H29" i="4"/>
  <c r="J29" i="4" s="1"/>
  <c r="H28" i="4"/>
  <c r="J28" i="4" s="1"/>
  <c r="H27" i="4"/>
  <c r="J27" i="4" s="1"/>
  <c r="H26" i="4"/>
  <c r="J26" i="4" s="1"/>
  <c r="H25" i="4"/>
  <c r="J25" i="4" s="1"/>
  <c r="H24" i="4"/>
  <c r="J24" i="4" s="1"/>
  <c r="H23" i="4"/>
  <c r="J23" i="4" s="1"/>
  <c r="H22" i="4"/>
  <c r="J22" i="4" s="1"/>
  <c r="H21" i="4"/>
  <c r="J21" i="4" s="1"/>
  <c r="H20" i="4"/>
  <c r="J20" i="4" s="1"/>
  <c r="H19" i="4"/>
  <c r="J19" i="4" s="1"/>
  <c r="H18" i="4"/>
  <c r="J18" i="4" s="1"/>
  <c r="H17" i="4"/>
  <c r="J17" i="4" s="1"/>
  <c r="H16" i="4"/>
  <c r="J16" i="4" s="1"/>
  <c r="H15" i="4"/>
  <c r="J15" i="4" s="1"/>
  <c r="H14" i="4"/>
  <c r="J14" i="4" s="1"/>
  <c r="H13" i="4"/>
  <c r="J13" i="4" s="1"/>
  <c r="H12" i="4"/>
  <c r="J12" i="4" s="1"/>
  <c r="H11" i="4"/>
  <c r="J11" i="4" s="1"/>
  <c r="H10" i="4"/>
  <c r="J10" i="4" s="1"/>
  <c r="H9" i="4"/>
  <c r="J9" i="4" s="1"/>
  <c r="H8" i="4"/>
  <c r="J8" i="4" s="1"/>
  <c r="H7" i="4"/>
  <c r="J7" i="4" s="1"/>
  <c r="K7" i="4" s="1"/>
  <c r="H6" i="4"/>
  <c r="J6" i="4" s="1"/>
  <c r="K6" i="4" s="1"/>
  <c r="H5" i="4"/>
  <c r="J5" i="4" s="1"/>
  <c r="H4" i="4"/>
  <c r="J4" i="4" s="1"/>
  <c r="J2" i="4" l="1"/>
  <c r="I2" i="4"/>
  <c r="K3" i="4"/>
  <c r="B1" i="5" s="1"/>
  <c r="B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tc={5EF978CB-C16C-4D26-AC83-6611C261743F}</author>
    <author>tc={756D0C1A-254A-44A0-B576-412E31DA03FC}</author>
  </authors>
  <commentList>
    <comment ref="A2" authorId="0" shapeId="0" xr:uid="{5EF978CB-C16C-4D26-AC83-6611C261743F}">
      <text>
        <t>[Threaded comment]
Your version of Excel allows you to read this threaded comment; however, any edits to it will get removed if the file is opened in a newer version of Excel. Learn more: https://go.microsoft.com/fwlink/?linkid=870924
Comment:
    Jasně definovat, co se tím myslí, případně potom rozpadnout na konkrétní části.</t>
      </text>
    </comment>
    <comment ref="A14" authorId="1" shapeId="0" xr:uid="{756D0C1A-254A-44A0-B576-412E31DA03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Např. nastavení TS na projektu nebo jiné části, která se nenachází ve vzorových řešeních.</t>
      </text>
    </comment>
  </commentList>
</comments>
</file>

<file path=xl/sharedStrings.xml><?xml version="1.0" encoding="utf-8"?>
<sst xmlns="http://schemas.openxmlformats.org/spreadsheetml/2006/main" count="226" uniqueCount="86">
  <si>
    <t>Celkem vývoj</t>
  </si>
  <si>
    <t>Celkem operativní činnosti</t>
  </si>
  <si>
    <t>Celkem</t>
  </si>
  <si>
    <t>Název úkolu</t>
  </si>
  <si>
    <t>INITIATIVE</t>
  </si>
  <si>
    <t>EPIC</t>
  </si>
  <si>
    <t>RM ID</t>
  </si>
  <si>
    <t>Odhad</t>
  </si>
  <si>
    <t>Popis</t>
  </si>
  <si>
    <t>Projektové řízení vývoj</t>
  </si>
  <si>
    <t>Režie</t>
  </si>
  <si>
    <t>Projektové řízení</t>
  </si>
  <si>
    <t>Pravidelné statusy s vývojáři FE</t>
  </si>
  <si>
    <t>Pravidelné statusy s vývojáři BE</t>
  </si>
  <si>
    <t>Synchronizace se vzorovým řešením</t>
  </si>
  <si>
    <t>Technické vylepšení projektu</t>
  </si>
  <si>
    <t xml:space="preserve">Zprovozňování projektu vývojáři </t>
  </si>
  <si>
    <t>Spouštění projektu</t>
  </si>
  <si>
    <t>Rezerva</t>
  </si>
  <si>
    <t>Dokumentace</t>
  </si>
  <si>
    <t>Vytvoření storybooku pro React komponenty</t>
  </si>
  <si>
    <t>Školení zákazníka</t>
  </si>
  <si>
    <t>Testování projektu</t>
  </si>
  <si>
    <t>Manuální testování</t>
  </si>
  <si>
    <t>Analýza dle WF, specifikace</t>
  </si>
  <si>
    <t>Inicializace</t>
  </si>
  <si>
    <t>Inicializace projektu</t>
  </si>
  <si>
    <t>Vytvoření WBS</t>
  </si>
  <si>
    <t xml:space="preserve">Úvodní technické a procesní nastavení projektu (zprovozňování projektu) </t>
  </si>
  <si>
    <t>Nastavení admin rozhraní (včetně odebrání funkcionalit, které nejsou ve specce</t>
  </si>
  <si>
    <t>Nastavení admin rozhraní</t>
  </si>
  <si>
    <t xml:space="preserve">Příprava admin rolí </t>
  </si>
  <si>
    <t xml:space="preserve">Nastylování aplikace - admin </t>
  </si>
  <si>
    <t>Úprava menu v adminu (odebrání nepotřebných položek)</t>
  </si>
  <si>
    <t xml:space="preserve">Příprava produkčního prostředí </t>
  </si>
  <si>
    <t>Spuštění projektu do produkce</t>
  </si>
  <si>
    <t xml:space="preserve">Proces spuštění projektu (XY lidí v kanceláři přes noc) </t>
  </si>
  <si>
    <t>Hypercare - ladění projektu po spuštění ze strany vývoje</t>
  </si>
  <si>
    <t>Poprojektové aktivity</t>
  </si>
  <si>
    <t xml:space="preserve">Migrace dat </t>
  </si>
  <si>
    <t>Migrace dat</t>
  </si>
  <si>
    <t>migrace - etapa 1</t>
  </si>
  <si>
    <t>Performance optimalizace</t>
  </si>
  <si>
    <t>Automatické testy - e2e Cypress</t>
  </si>
  <si>
    <t>Automatické testování</t>
  </si>
  <si>
    <t>Automatické testy - unit testy</t>
  </si>
  <si>
    <t>Komplexita / riziko</t>
  </si>
  <si>
    <t>Odhad vývojář (h)</t>
  </si>
  <si>
    <t>Režie na vývoj (h)</t>
  </si>
  <si>
    <t>Režie na dodání úpravy (h)</t>
  </si>
  <si>
    <t>Odhad celkem (h)</t>
  </si>
  <si>
    <t>Odhad celkem final (h)</t>
  </si>
  <si>
    <t>Akceptační kritéria</t>
  </si>
  <si>
    <t>Pagination - pushování nových stránek při scrollování směrem dolů - TRAM | BUS</t>
  </si>
  <si>
    <t>Zobrazení obsazenosti v produkci</t>
  </si>
  <si>
    <t>TRAM | BUS - fetchování dat, infinite scroll a spojená logika</t>
  </si>
  <si>
    <t>velmi komplexní</t>
  </si>
  <si>
    <t>Invalidace a přenačtení dat na pozadí pro TRAM | BUS</t>
  </si>
  <si>
    <t>vysoká</t>
  </si>
  <si>
    <t>Fetchování dat TRAM | BUS - Napojení první stránky pagination na BE (napojení na API)</t>
  </si>
  <si>
    <t>standardní</t>
  </si>
  <si>
    <t>DB struktura - Firmy: Bonusové smlouvy</t>
  </si>
  <si>
    <t>CRM</t>
  </si>
  <si>
    <t>DB struktura</t>
  </si>
  <si>
    <t>DB struktura - Firmy: Bonusové smlouvy: Skupiny</t>
  </si>
  <si>
    <t>Detail příležitosti [rozšíření]</t>
  </si>
  <si>
    <t>Příležitosti</t>
  </si>
  <si>
    <t>riziková</t>
  </si>
  <si>
    <t>Vývoj úkolu</t>
  </si>
  <si>
    <t>Procentuální přídavek (%)</t>
  </si>
  <si>
    <t>Dodání úkolu - režie</t>
  </si>
  <si>
    <t>Tech. analýza + sepsání checklistu AC</t>
  </si>
  <si>
    <t>Tech. analýza a zadání úkolů</t>
  </si>
  <si>
    <t>Vývoj</t>
  </si>
  <si>
    <t>Code review</t>
  </si>
  <si>
    <t>Testování úpravy podle AC</t>
  </si>
  <si>
    <t>Deploy staging</t>
  </si>
  <si>
    <t>Deploy production</t>
  </si>
  <si>
    <t>Vývojářské režie, komunikace mezi vývojáři</t>
  </si>
  <si>
    <t>Manuální testování ze strany LD</t>
  </si>
  <si>
    <t>Fixy (po review / feedback od klienta)</t>
  </si>
  <si>
    <t>Komunikace se 3. stranami nebo dodavateli</t>
  </si>
  <si>
    <t>Rezerva na neočekávané události</t>
  </si>
  <si>
    <t>Režie spojené s mergováním</t>
  </si>
  <si>
    <t>Komplexita</t>
  </si>
  <si>
    <t>Koeficient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</si>
</sst>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ální" xfId="0" builtinId="0"/>
  </cellStyles>
  <dxfs count="4">
    <dxf>
      <fill>
        <patternFill>
          <bgColor rgb="FFFF6666"/>
        </patternFill>
      </fill>
    </dxf>
    <dxf>
      <fill>
        <patternFill>
          <bgColor rgb="FFFFCC99"/>
        </patternFill>
      </fill>
    </dxf>
    <dxf>
      <fill>
        <patternFill>
          <bgColor rgb="FFFFFF99"/>
        </patternFill>
      </fill>
    </dxf>
    <dxf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Hora" id="{8F8888C2-524A-43FE-9673-277A83E872F6}" userId="S::hora@rtsoft.cz::2c62fc8b-0937-44f1-9286-58c5dabff1e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4-30T11:42:29.88" personId="{8F8888C2-524A-43FE-9673-277A83E872F6}" id="{5EF978CB-C16C-4D26-AC83-6611C261743F}">
    <text>Jasně definovat, co se tím myslí, případně potom rozpadnout na konkrétní části.</text>
  </threadedComment>
  <threadedComment ref="A14" dT="2025-04-04T05:22:05.59" personId="{8F8888C2-524A-43FE-9673-277A83E872F6}" id="{756D0C1A-254A-44A0-B576-412E31DA03FC}">
    <text>Např. nastavení TS na projektu nebo jiné části, která se nenachází ve vzorových řešeních.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0ADC-D412-4D61-AA53-FAD04E289EE4}">
  <dimension ref="A1:B3"/>
  <sheetViews>
    <sheetView workbookViewId="0">
      <selection activeCell="M8" sqref="M8"/>
    </sheetView>
  </sheetViews>
  <sheetFormatPr defaultRowHeight="15"/>
  <cols>
    <col min="1" max="1" width="38.42578125" customWidth="1"/>
    <col min="2" max="2" width="14.5703125" customWidth="1"/>
  </cols>
  <sheetData>
    <row r="1" spans="1:2">
      <c r="A1" s="2" t="s">
        <v>0</v>
      </c>
      <c r="B1">
        <f>SUM('WBS - vývoj'!K2:K5000)</f>
        <v>79.720000000000013</v>
      </c>
    </row>
    <row r="2" spans="1:2">
      <c r="A2" s="2" t="s">
        <v>1</v>
      </c>
      <c r="B2">
        <f>SUM('WBS - operativní činnosti'!E2:E197)</f>
        <v>20</v>
      </c>
    </row>
    <row r="3" spans="1:2">
      <c r="A3" s="2" t="s">
        <v>2</v>
      </c>
      <c r="B3">
        <f>SUM(B1:B2)</f>
        <v>99.720000000000013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>
      <selection activeCell="A21" sqref="A21"/>
    </sheetView>
  </sheetViews>
  <sheetFormatPr defaultRowHeight="15"/>
  <cols>
    <col min="1" max="1" width="65" customWidth="1"/>
    <col min="2" max="2" width="25.7109375" customWidth="1"/>
    <col min="3" max="3" width="29" customWidth="1"/>
    <col min="4" max="4" width="12.42578125" customWidth="1"/>
    <col min="5" max="5" width="22.5703125" customWidth="1"/>
    <col min="6" max="6" width="23.42578125" customWidth="1"/>
    <col min="7" max="7" width="23" customWidth="1"/>
    <col min="8" max="8" width="22.5703125" customWidth="1"/>
    <col min="9" max="9" width="17.28515625" customWidth="1"/>
    <col min="10" max="10" width="25.7109375" customWidth="1"/>
  </cols>
  <sheetData>
    <row r="1" spans="1:10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2"/>
      <c r="H1" s="2"/>
      <c r="J1" s="2"/>
    </row>
    <row r="2" spans="1:10">
      <c r="A2" t="s">
        <v>9</v>
      </c>
      <c r="B2" t="s">
        <v>10</v>
      </c>
      <c r="C2" t="s">
        <v>11</v>
      </c>
      <c r="H2" s="1"/>
    </row>
    <row r="3" spans="1:10" ht="15.75" customHeight="1">
      <c r="A3" t="s">
        <v>12</v>
      </c>
      <c r="B3" t="s">
        <v>10</v>
      </c>
      <c r="C3" t="s">
        <v>11</v>
      </c>
      <c r="H3" s="1"/>
    </row>
    <row r="4" spans="1:10">
      <c r="A4" t="s">
        <v>13</v>
      </c>
      <c r="B4" t="s">
        <v>10</v>
      </c>
      <c r="C4" t="s">
        <v>11</v>
      </c>
      <c r="H4" s="1"/>
    </row>
    <row r="5" spans="1:10">
      <c r="A5" t="s">
        <v>14</v>
      </c>
      <c r="B5" t="s">
        <v>10</v>
      </c>
      <c r="C5" t="s">
        <v>15</v>
      </c>
      <c r="H5" s="1"/>
    </row>
    <row r="6" spans="1:10">
      <c r="A6" t="s">
        <v>16</v>
      </c>
      <c r="B6" t="s">
        <v>10</v>
      </c>
      <c r="C6" t="s">
        <v>17</v>
      </c>
      <c r="H6" s="1"/>
    </row>
    <row r="7" spans="1:10">
      <c r="A7" t="s">
        <v>18</v>
      </c>
      <c r="C7" t="s">
        <v>18</v>
      </c>
      <c r="H7" s="1"/>
    </row>
    <row r="8" spans="1:10">
      <c r="A8" t="s">
        <v>19</v>
      </c>
      <c r="C8" t="s">
        <v>19</v>
      </c>
      <c r="H8" s="1"/>
    </row>
    <row r="9" spans="1:10">
      <c r="A9" t="s">
        <v>20</v>
      </c>
      <c r="C9" t="s">
        <v>19</v>
      </c>
      <c r="H9" s="1"/>
    </row>
    <row r="10" spans="1:10">
      <c r="A10" t="s">
        <v>21</v>
      </c>
      <c r="C10" t="s">
        <v>21</v>
      </c>
      <c r="H10" s="1"/>
    </row>
    <row r="11" spans="1:10">
      <c r="A11" t="s">
        <v>22</v>
      </c>
      <c r="B11" s="7" t="s">
        <v>22</v>
      </c>
      <c r="C11" t="s">
        <v>23</v>
      </c>
      <c r="H11" s="1"/>
    </row>
    <row r="12" spans="1:10">
      <c r="A12" t="s">
        <v>24</v>
      </c>
      <c r="B12" t="s">
        <v>25</v>
      </c>
      <c r="C12" t="s">
        <v>26</v>
      </c>
      <c r="H12" s="1"/>
    </row>
    <row r="13" spans="1:10">
      <c r="A13" t="s">
        <v>27</v>
      </c>
      <c r="B13" t="s">
        <v>25</v>
      </c>
      <c r="C13" t="s">
        <v>26</v>
      </c>
      <c r="H13" s="1"/>
    </row>
    <row r="14" spans="1:10">
      <c r="A14" t="s">
        <v>28</v>
      </c>
      <c r="B14" t="s">
        <v>25</v>
      </c>
      <c r="C14" t="s">
        <v>26</v>
      </c>
      <c r="H14" s="1"/>
    </row>
    <row r="15" spans="1:10">
      <c r="A15" t="s">
        <v>29</v>
      </c>
      <c r="B15" t="s">
        <v>25</v>
      </c>
      <c r="C15" t="s">
        <v>30</v>
      </c>
      <c r="H15" s="1"/>
    </row>
    <row r="16" spans="1:10">
      <c r="A16" t="s">
        <v>31</v>
      </c>
      <c r="B16" t="s">
        <v>25</v>
      </c>
      <c r="C16" t="s">
        <v>30</v>
      </c>
      <c r="H16" s="1"/>
    </row>
    <row r="17" spans="1:8">
      <c r="A17" t="s">
        <v>32</v>
      </c>
      <c r="B17" t="s">
        <v>25</v>
      </c>
      <c r="C17" t="s">
        <v>30</v>
      </c>
      <c r="H17" s="1"/>
    </row>
    <row r="18" spans="1:8">
      <c r="A18" t="s">
        <v>33</v>
      </c>
      <c r="B18" t="s">
        <v>25</v>
      </c>
      <c r="C18" t="s">
        <v>30</v>
      </c>
      <c r="H18" s="1"/>
    </row>
    <row r="19" spans="1:8">
      <c r="A19" t="s">
        <v>34</v>
      </c>
      <c r="C19" t="s">
        <v>35</v>
      </c>
      <c r="H19" s="1"/>
    </row>
    <row r="20" spans="1:8">
      <c r="A20" t="s">
        <v>36</v>
      </c>
      <c r="C20" t="s">
        <v>35</v>
      </c>
      <c r="H20" s="1"/>
    </row>
    <row r="21" spans="1:8">
      <c r="A21" t="s">
        <v>37</v>
      </c>
      <c r="C21" t="s">
        <v>38</v>
      </c>
      <c r="H21" s="1"/>
    </row>
    <row r="22" spans="1:8">
      <c r="A22" t="s">
        <v>39</v>
      </c>
      <c r="C22" t="s">
        <v>40</v>
      </c>
      <c r="D22">
        <v>52038</v>
      </c>
      <c r="E22">
        <v>20</v>
      </c>
      <c r="F22" t="s">
        <v>41</v>
      </c>
      <c r="H22" s="1"/>
    </row>
    <row r="23" spans="1:8">
      <c r="A23" t="s">
        <v>42</v>
      </c>
      <c r="C23" t="s">
        <v>42</v>
      </c>
      <c r="H23" s="1"/>
    </row>
    <row r="24" spans="1:8">
      <c r="A24" t="s">
        <v>43</v>
      </c>
      <c r="B24" s="7" t="s">
        <v>22</v>
      </c>
      <c r="C24" t="s">
        <v>44</v>
      </c>
      <c r="H24" s="1"/>
    </row>
    <row r="25" spans="1:8">
      <c r="A25" t="s">
        <v>45</v>
      </c>
      <c r="B25" s="7" t="s">
        <v>22</v>
      </c>
      <c r="C25" t="s">
        <v>44</v>
      </c>
      <c r="H25" s="1"/>
    </row>
    <row r="26" spans="1:8">
      <c r="H26" s="1"/>
    </row>
    <row r="27" spans="1:8">
      <c r="H27" s="1"/>
    </row>
    <row r="28" spans="1:8"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  <row r="43" spans="8:8">
      <c r="H43" s="1"/>
    </row>
    <row r="44" spans="8:8">
      <c r="H44" s="1"/>
    </row>
    <row r="45" spans="8:8">
      <c r="H45" s="1"/>
    </row>
    <row r="46" spans="8:8">
      <c r="H46" s="1"/>
    </row>
    <row r="47" spans="8:8">
      <c r="H47" s="1"/>
    </row>
    <row r="48" spans="8: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  <row r="54" spans="8:8">
      <c r="H54" s="1"/>
    </row>
    <row r="55" spans="8:8">
      <c r="H55" s="1"/>
    </row>
    <row r="56" spans="8:8">
      <c r="H56" s="1"/>
    </row>
    <row r="57" spans="8:8">
      <c r="H57" s="1"/>
    </row>
    <row r="58" spans="8:8">
      <c r="H58" s="1"/>
    </row>
    <row r="59" spans="8:8">
      <c r="H59" s="1"/>
    </row>
    <row r="60" spans="8:8">
      <c r="H60" s="1"/>
    </row>
    <row r="61" spans="8:8">
      <c r="H61" s="1"/>
    </row>
    <row r="62" spans="8:8">
      <c r="H62" s="1"/>
    </row>
    <row r="63" spans="8:8">
      <c r="H63" s="1"/>
    </row>
    <row r="64" spans="8:8">
      <c r="H64" s="1"/>
    </row>
    <row r="65" spans="8:8">
      <c r="H65" s="1"/>
    </row>
    <row r="66" spans="8:8">
      <c r="H66" s="1"/>
    </row>
    <row r="67" spans="8:8">
      <c r="H67" s="1"/>
    </row>
    <row r="68" spans="8:8">
      <c r="H68" s="1"/>
    </row>
    <row r="69" spans="8:8">
      <c r="H69" s="1"/>
    </row>
    <row r="70" spans="8:8">
      <c r="H70" s="1"/>
    </row>
    <row r="71" spans="8:8">
      <c r="H71" s="1"/>
    </row>
    <row r="72" spans="8:8">
      <c r="H72" s="1"/>
    </row>
    <row r="73" spans="8:8">
      <c r="H73" s="1"/>
    </row>
    <row r="74" spans="8:8">
      <c r="H74" s="1"/>
    </row>
    <row r="75" spans="8:8">
      <c r="H75" s="1"/>
    </row>
    <row r="76" spans="8:8">
      <c r="H76" s="1"/>
    </row>
    <row r="77" spans="8:8">
      <c r="H77" s="1"/>
    </row>
    <row r="78" spans="8:8">
      <c r="H78" s="1"/>
    </row>
    <row r="79" spans="8:8">
      <c r="H79" s="1"/>
    </row>
    <row r="80" spans="8:8">
      <c r="H80" s="1"/>
    </row>
    <row r="81" spans="8:8">
      <c r="H81" s="1"/>
    </row>
    <row r="82" spans="8:8">
      <c r="H82" s="1"/>
    </row>
    <row r="83" spans="8:8">
      <c r="H83" s="1"/>
    </row>
    <row r="84" spans="8:8">
      <c r="H84" s="1"/>
    </row>
    <row r="85" spans="8:8">
      <c r="H85" s="1"/>
    </row>
    <row r="86" spans="8:8">
      <c r="H86" s="1"/>
    </row>
    <row r="87" spans="8:8">
      <c r="H87" s="1"/>
    </row>
    <row r="88" spans="8:8">
      <c r="H88" s="1"/>
    </row>
    <row r="89" spans="8:8">
      <c r="H89" s="1"/>
    </row>
    <row r="90" spans="8:8">
      <c r="H90" s="1"/>
    </row>
    <row r="91" spans="8:8">
      <c r="H91" s="1"/>
    </row>
    <row r="92" spans="8:8">
      <c r="H92" s="1"/>
    </row>
    <row r="93" spans="8:8">
      <c r="H93" s="1"/>
    </row>
    <row r="94" spans="8:8">
      <c r="H94" s="1"/>
    </row>
    <row r="95" spans="8:8">
      <c r="H95" s="1"/>
    </row>
    <row r="96" spans="8:8">
      <c r="H96" s="1"/>
    </row>
    <row r="97" spans="8:8">
      <c r="H97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0B5D-2517-409C-B26E-9C4965F8D745}">
  <dimension ref="A1:M100"/>
  <sheetViews>
    <sheetView tabSelected="1" topLeftCell="B1" workbookViewId="0">
      <selection activeCell="K2" sqref="K2"/>
    </sheetView>
  </sheetViews>
  <sheetFormatPr defaultRowHeight="15"/>
  <cols>
    <col min="1" max="1" width="76" customWidth="1"/>
    <col min="2" max="2" width="30.85546875" customWidth="1"/>
    <col min="3" max="3" width="29.7109375" customWidth="1"/>
    <col min="4" max="4" width="12.5703125" customWidth="1"/>
    <col min="5" max="5" width="17.7109375" customWidth="1"/>
    <col min="6" max="6" width="16.7109375" customWidth="1"/>
    <col min="7" max="7" width="16.42578125" hidden="1" customWidth="1"/>
    <col min="8" max="8" width="24.140625" customWidth="1"/>
    <col min="9" max="9" width="18.28515625" hidden="1" customWidth="1"/>
    <col min="10" max="10" width="18.85546875" customWidth="1"/>
    <col min="11" max="11" width="22.28515625" customWidth="1"/>
    <col min="12" max="12" width="31.5703125" customWidth="1"/>
    <col min="13" max="13" width="25.7109375" customWidth="1"/>
  </cols>
  <sheetData>
    <row r="1" spans="1:13" ht="17.25" customHeight="1">
      <c r="A1" s="6" t="s">
        <v>3</v>
      </c>
      <c r="B1" s="6" t="s">
        <v>4</v>
      </c>
      <c r="C1" s="6" t="s">
        <v>5</v>
      </c>
      <c r="D1" s="6" t="s">
        <v>6</v>
      </c>
      <c r="E1" s="6" t="s">
        <v>46</v>
      </c>
      <c r="F1" s="6" t="s">
        <v>47</v>
      </c>
      <c r="G1" s="3" t="s">
        <v>48</v>
      </c>
      <c r="H1" s="4" t="s">
        <v>49</v>
      </c>
      <c r="I1" s="4" t="s">
        <v>47</v>
      </c>
      <c r="J1" s="5" t="s">
        <v>50</v>
      </c>
      <c r="K1" s="6" t="s">
        <v>51</v>
      </c>
      <c r="L1" s="6" t="s">
        <v>8</v>
      </c>
      <c r="M1" s="6" t="s">
        <v>52</v>
      </c>
    </row>
    <row r="2" spans="1:13">
      <c r="A2" t="s">
        <v>53</v>
      </c>
      <c r="B2" t="s">
        <v>54</v>
      </c>
      <c r="C2" t="s">
        <v>55</v>
      </c>
      <c r="D2">
        <v>52033</v>
      </c>
      <c r="E2" t="s">
        <v>56</v>
      </c>
      <c r="F2">
        <v>6</v>
      </c>
      <c r="G2">
        <f>F2*SUM('Konfigurace režií na úkolech'!$B$2:$B$4)/100</f>
        <v>0.03</v>
      </c>
      <c r="H2">
        <f>F2*SUM('Konfigurace režií na úkolech'!$E$2:$E$10)/100</f>
        <v>1.9440000000000004</v>
      </c>
      <c r="I2">
        <f>IF(OR(F2="",E2="",H2=""), "", ((F2+G2)*VLOOKUP(E2, 'Konfigurace komplexity'!$A$2:$B$5, 2, FALSE)))</f>
        <v>6.03</v>
      </c>
      <c r="J2" s="1">
        <f>IF(OR(F2="",E2="",H2=""), "", ((F2+G2+H2)*VLOOKUP(E2, 'Konfigurace komplexity'!$A$2:$B$5, 2, FALSE)))</f>
        <v>7.9740000000000002</v>
      </c>
      <c r="K2" s="1">
        <v>9</v>
      </c>
    </row>
    <row r="3" spans="1:13">
      <c r="A3" t="s">
        <v>57</v>
      </c>
      <c r="B3" t="s">
        <v>54</v>
      </c>
      <c r="C3" t="s">
        <v>55</v>
      </c>
      <c r="D3">
        <v>52034</v>
      </c>
      <c r="E3" t="s">
        <v>58</v>
      </c>
      <c r="F3">
        <v>10</v>
      </c>
      <c r="H3">
        <f>F3*SUM('Konfigurace režií na úkolech'!$E$2:$E$10)/100</f>
        <v>3.2400000000000007</v>
      </c>
      <c r="J3" s="1">
        <f>IF(OR(F3="",E3="",H3=""), "", ((F3+H3)*VLOOKUP(E3, 'Konfigurace komplexity'!$A$2:$B$5, 2, FALSE)))</f>
        <v>13.24</v>
      </c>
      <c r="K3" s="1">
        <f>J3</f>
        <v>13.24</v>
      </c>
    </row>
    <row r="4" spans="1:13">
      <c r="A4" t="s">
        <v>59</v>
      </c>
      <c r="B4" t="s">
        <v>54</v>
      </c>
      <c r="C4" t="s">
        <v>55</v>
      </c>
      <c r="D4">
        <v>52035</v>
      </c>
      <c r="E4" t="s">
        <v>60</v>
      </c>
      <c r="F4">
        <v>8</v>
      </c>
      <c r="H4">
        <f>F4*SUM('Konfigurace režií na úkolech'!$E$2:$E$10)/100</f>
        <v>2.5920000000000005</v>
      </c>
      <c r="J4" s="1">
        <f>IF(OR(F4="",E4="",H4=""), "", (F4*VLOOKUP(E4, 'Konfigurace komplexity'!$A$2:$B$5, 2, FALSE))+H4)</f>
        <v>10.592000000000001</v>
      </c>
      <c r="K4" s="1">
        <v>11</v>
      </c>
    </row>
    <row r="5" spans="1:13">
      <c r="A5" t="s">
        <v>61</v>
      </c>
      <c r="B5" t="s">
        <v>62</v>
      </c>
      <c r="C5" t="s">
        <v>63</v>
      </c>
      <c r="D5">
        <v>52036</v>
      </c>
      <c r="E5" t="s">
        <v>56</v>
      </c>
      <c r="F5">
        <v>12</v>
      </c>
      <c r="H5">
        <f>F5*SUM('Konfigurace režií na úkolech'!$E$2:$E$10)/100</f>
        <v>3.8880000000000008</v>
      </c>
      <c r="J5" s="1">
        <f>IF(OR(F5="",E5="",H5=""), "", (F5*VLOOKUP(E5, 'Konfigurace komplexity'!$A$2:$B$5, 2, FALSE))+H5)</f>
        <v>15.888000000000002</v>
      </c>
      <c r="K5" s="1">
        <v>20</v>
      </c>
    </row>
    <row r="6" spans="1:13">
      <c r="A6" t="s">
        <v>64</v>
      </c>
      <c r="B6" t="s">
        <v>62</v>
      </c>
      <c r="C6" t="s">
        <v>63</v>
      </c>
      <c r="D6">
        <v>52036</v>
      </c>
      <c r="E6" t="s">
        <v>60</v>
      </c>
      <c r="F6">
        <v>16</v>
      </c>
      <c r="H6">
        <f>F6*SUM('Konfigurace režií na úkolech'!$E$2:$E$10)/100</f>
        <v>5.1840000000000011</v>
      </c>
      <c r="J6" s="1">
        <f>IF(OR(F6="",E6="",H6=""), "", (F6*VLOOKUP(E6, 'Konfigurace komplexity'!$A$2:$B$5, 2, FALSE))+H6)</f>
        <v>21.184000000000001</v>
      </c>
      <c r="K6" s="1">
        <f t="shared" ref="K3:K7" si="0">J6</f>
        <v>21.184000000000001</v>
      </c>
    </row>
    <row r="7" spans="1:13" ht="15.75" customHeight="1">
      <c r="A7" t="s">
        <v>65</v>
      </c>
      <c r="B7" t="s">
        <v>62</v>
      </c>
      <c r="C7" t="s">
        <v>66</v>
      </c>
      <c r="D7">
        <v>52037</v>
      </c>
      <c r="E7" t="s">
        <v>67</v>
      </c>
      <c r="F7">
        <v>4</v>
      </c>
      <c r="H7">
        <f>F7*SUM('Konfigurace režií na úkolech'!$E$2:$E$10)/100</f>
        <v>1.2960000000000003</v>
      </c>
      <c r="J7" s="1">
        <f>IF(OR(F7="",E7="",H7=""), "", (F7*VLOOKUP(E7, 'Konfigurace komplexity'!$A$2:$B$5, 2, FALSE))+H7)</f>
        <v>5.2960000000000003</v>
      </c>
      <c r="K7" s="1">
        <f t="shared" si="0"/>
        <v>5.2960000000000003</v>
      </c>
    </row>
    <row r="8" spans="1:13">
      <c r="E8" t="s">
        <v>60</v>
      </c>
      <c r="H8">
        <f>F8*SUM('Konfigurace režií na úkolech'!$E$2:$E$10)/100</f>
        <v>0</v>
      </c>
      <c r="J8" s="1" t="str">
        <f>IF(OR(F8="",E8="",H8=""), "", (F8*VLOOKUP(E8, 'Konfigurace komplexity'!$A$2:$B$5, 2, FALSE))+H8)</f>
        <v/>
      </c>
      <c r="K8" s="1"/>
    </row>
    <row r="9" spans="1:13">
      <c r="E9" t="s">
        <v>60</v>
      </c>
      <c r="H9">
        <f>F9*SUM('Konfigurace režií na úkolech'!$E$2:$E$10)/100</f>
        <v>0</v>
      </c>
      <c r="J9" s="1" t="str">
        <f>IF(OR(F9="",E9="",H9=""), "", (F9*VLOOKUP(E9, 'Konfigurace komplexity'!$A$2:$B$5, 2, FALSE))+H9)</f>
        <v/>
      </c>
      <c r="K9" s="1"/>
    </row>
    <row r="10" spans="1:13">
      <c r="E10" t="s">
        <v>60</v>
      </c>
      <c r="H10">
        <f>F10*SUM('Konfigurace režií na úkolech'!$E$2:$E$10)/100</f>
        <v>0</v>
      </c>
      <c r="J10" s="1" t="str">
        <f>IF(OR(F10="",E10="",H10=""), "", (F10*VLOOKUP(E10, 'Konfigurace komplexity'!$A$2:$B$5, 2, FALSE))+H10)</f>
        <v/>
      </c>
      <c r="K10" s="1"/>
    </row>
    <row r="11" spans="1:13">
      <c r="E11" t="s">
        <v>60</v>
      </c>
      <c r="H11">
        <f>F11*SUM('Konfigurace režií na úkolech'!$E$2:$E$10)/100</f>
        <v>0</v>
      </c>
      <c r="J11" s="1" t="str">
        <f>IF(OR(F11="",E11="",H11=""), "", (F11*VLOOKUP(E11, 'Konfigurace komplexity'!$A$2:$B$5, 2, FALSE))+H11)</f>
        <v/>
      </c>
      <c r="K11" s="1"/>
    </row>
    <row r="12" spans="1:13">
      <c r="E12" t="s">
        <v>60</v>
      </c>
      <c r="H12">
        <f>F12*SUM('Konfigurace režií na úkolech'!$E$2:$E$10)/100</f>
        <v>0</v>
      </c>
      <c r="J12" s="1" t="str">
        <f>IF(OR(F12="",E12="",H12=""), "", (F12*VLOOKUP(E12, 'Konfigurace komplexity'!$A$2:$B$5, 2, FALSE))+H12)</f>
        <v/>
      </c>
      <c r="K12" s="1"/>
    </row>
    <row r="13" spans="1:13">
      <c r="E13" t="s">
        <v>60</v>
      </c>
      <c r="H13">
        <f>F13*SUM('Konfigurace režií na úkolech'!$E$2:$E$10)/100</f>
        <v>0</v>
      </c>
      <c r="J13" s="1" t="str">
        <f>IF(OR(F13="",E13="",H13=""), "", (F13*VLOOKUP(E13, 'Konfigurace komplexity'!$A$2:$B$5, 2, FALSE))+H13)</f>
        <v/>
      </c>
      <c r="K13" s="1"/>
    </row>
    <row r="14" spans="1:13">
      <c r="E14" t="s">
        <v>60</v>
      </c>
      <c r="H14">
        <f>F14*SUM('Konfigurace režií na úkolech'!$E$2:$E$10)/100</f>
        <v>0</v>
      </c>
      <c r="J14" s="1" t="str">
        <f>IF(OR(F14="",E14="",H14=""), "", (F14*VLOOKUP(E14, 'Konfigurace komplexity'!$A$2:$B$5, 2, FALSE))+H14)</f>
        <v/>
      </c>
      <c r="K14" s="1"/>
    </row>
    <row r="15" spans="1:13">
      <c r="E15" t="s">
        <v>60</v>
      </c>
      <c r="H15">
        <f>F15*SUM('Konfigurace režií na úkolech'!$E$2:$E$10)/100</f>
        <v>0</v>
      </c>
      <c r="J15" s="1" t="str">
        <f>IF(OR(F15="",E15="",H15=""), "", (F15*VLOOKUP(E15, 'Konfigurace komplexity'!$A$2:$B$5, 2, FALSE))+H15)</f>
        <v/>
      </c>
      <c r="K15" s="1"/>
    </row>
    <row r="16" spans="1:13">
      <c r="E16" t="s">
        <v>60</v>
      </c>
      <c r="H16">
        <f>F16*SUM('Konfigurace režií na úkolech'!$E$2:$E$10)/100</f>
        <v>0</v>
      </c>
      <c r="J16" s="1" t="str">
        <f>IF(OR(F16="",E16="",H16=""), "", (F16*VLOOKUP(E16, 'Konfigurace komplexity'!$A$2:$B$5, 2, FALSE))+H16)</f>
        <v/>
      </c>
      <c r="K16" s="1"/>
    </row>
    <row r="17" spans="5:11">
      <c r="E17" t="s">
        <v>60</v>
      </c>
      <c r="H17">
        <f>F17*SUM('Konfigurace režií na úkolech'!$E$2:$E$10)/100</f>
        <v>0</v>
      </c>
      <c r="J17" s="1" t="str">
        <f>IF(OR(F17="",E17="",H17=""), "", (F17*VLOOKUP(E17, 'Konfigurace komplexity'!$A$2:$B$5, 2, FALSE))+H17)</f>
        <v/>
      </c>
      <c r="K17" s="1"/>
    </row>
    <row r="18" spans="5:11">
      <c r="E18" t="s">
        <v>60</v>
      </c>
      <c r="H18">
        <f>F18*SUM('Konfigurace režií na úkolech'!$E$2:$E$10)/100</f>
        <v>0</v>
      </c>
      <c r="J18" s="1" t="str">
        <f>IF(OR(F18="",E18="",H18=""), "", (F18*VLOOKUP(E18, 'Konfigurace komplexity'!$A$2:$B$5, 2, FALSE))+H18)</f>
        <v/>
      </c>
      <c r="K18" s="1"/>
    </row>
    <row r="19" spans="5:11">
      <c r="E19" t="s">
        <v>60</v>
      </c>
      <c r="H19">
        <f>F19*SUM('Konfigurace režií na úkolech'!$E$2:$E$10)/100</f>
        <v>0</v>
      </c>
      <c r="J19" s="1" t="str">
        <f>IF(OR(F19="",E19="",H19=""), "", (F19*VLOOKUP(E19, 'Konfigurace komplexity'!$A$2:$B$5, 2, FALSE))+H19)</f>
        <v/>
      </c>
      <c r="K19" s="1"/>
    </row>
    <row r="20" spans="5:11">
      <c r="E20" t="s">
        <v>60</v>
      </c>
      <c r="H20">
        <f>F20*SUM('Konfigurace režií na úkolech'!$E$2:$E$10)/100</f>
        <v>0</v>
      </c>
      <c r="J20" s="1" t="str">
        <f>IF(OR(F20="",E20="",H20=""), "", (F20*VLOOKUP(E20, 'Konfigurace komplexity'!$A$2:$B$5, 2, FALSE))+H20)</f>
        <v/>
      </c>
      <c r="K20" s="1"/>
    </row>
    <row r="21" spans="5:11">
      <c r="E21" t="s">
        <v>60</v>
      </c>
      <c r="H21">
        <f>F21*SUM('Konfigurace režií na úkolech'!$E$2:$E$10)/100</f>
        <v>0</v>
      </c>
      <c r="J21" s="1" t="str">
        <f>IF(OR(F21="",E21="",H21=""), "", (F21*VLOOKUP(E21, 'Konfigurace komplexity'!$A$2:$B$5, 2, FALSE))+H21)</f>
        <v/>
      </c>
      <c r="K21" s="1"/>
    </row>
    <row r="22" spans="5:11">
      <c r="E22" t="s">
        <v>60</v>
      </c>
      <c r="H22">
        <f>F22*SUM('Konfigurace režií na úkolech'!$E$2:$E$10)/100</f>
        <v>0</v>
      </c>
      <c r="J22" s="1" t="str">
        <f>IF(OR(F22="",E22="",H22=""), "", (F22*VLOOKUP(E22, 'Konfigurace komplexity'!$A$2:$B$5, 2, FALSE))+H22)</f>
        <v/>
      </c>
      <c r="K22" s="1"/>
    </row>
    <row r="23" spans="5:11">
      <c r="E23" t="s">
        <v>60</v>
      </c>
      <c r="H23">
        <f>F23*SUM('Konfigurace režií na úkolech'!$E$2:$E$10)/100</f>
        <v>0</v>
      </c>
      <c r="J23" s="1" t="str">
        <f>IF(OR(F23="",E23="",H23=""), "", (F23*VLOOKUP(E23, 'Konfigurace komplexity'!$A$2:$B$5, 2, FALSE))+H23)</f>
        <v/>
      </c>
      <c r="K23" s="1"/>
    </row>
    <row r="24" spans="5:11">
      <c r="E24" t="s">
        <v>60</v>
      </c>
      <c r="H24">
        <f>F24*SUM('Konfigurace režií na úkolech'!$E$2:$E$10)/100</f>
        <v>0</v>
      </c>
      <c r="J24" s="1" t="str">
        <f>IF(OR(F24="",E24="",H24=""), "", (F24*VLOOKUP(E24, 'Konfigurace komplexity'!$A$2:$B$5, 2, FALSE))+H24)</f>
        <v/>
      </c>
      <c r="K24" s="1"/>
    </row>
    <row r="25" spans="5:11">
      <c r="E25" t="s">
        <v>60</v>
      </c>
      <c r="H25">
        <f>F25*SUM('Konfigurace režií na úkolech'!$E$2:$E$10)/100</f>
        <v>0</v>
      </c>
      <c r="J25" s="1" t="str">
        <f>IF(OR(F25="",E25="",H25=""), "", (F25*VLOOKUP(E25, 'Konfigurace komplexity'!$A$2:$B$5, 2, FALSE))+H25)</f>
        <v/>
      </c>
      <c r="K25" s="1"/>
    </row>
    <row r="26" spans="5:11">
      <c r="E26" t="s">
        <v>60</v>
      </c>
      <c r="H26">
        <f>F26*SUM('Konfigurace režií na úkolech'!$E$2:$E$10)/100</f>
        <v>0</v>
      </c>
      <c r="J26" s="1" t="str">
        <f>IF(OR(F26="",E26="",H26=""), "", (F26*VLOOKUP(E26, 'Konfigurace komplexity'!$A$2:$B$5, 2, FALSE))+H26)</f>
        <v/>
      </c>
      <c r="K26" s="1"/>
    </row>
    <row r="27" spans="5:11">
      <c r="E27" t="s">
        <v>60</v>
      </c>
      <c r="H27">
        <f>F27*SUM('Konfigurace režií na úkolech'!$E$2:$E$10)/100</f>
        <v>0</v>
      </c>
      <c r="J27" s="1" t="str">
        <f>IF(OR(F27="",E27="",H27=""), "", (F27*VLOOKUP(E27, 'Konfigurace komplexity'!$A$2:$B$5, 2, FALSE))+H27)</f>
        <v/>
      </c>
      <c r="K27" s="1"/>
    </row>
    <row r="28" spans="5:11">
      <c r="E28" t="s">
        <v>60</v>
      </c>
      <c r="H28">
        <f>F28*SUM('Konfigurace režií na úkolech'!$E$2:$E$10)/100</f>
        <v>0</v>
      </c>
      <c r="J28" s="1" t="str">
        <f>IF(OR(F28="",E28="",H28=""), "", (F28*VLOOKUP(E28, 'Konfigurace komplexity'!$A$2:$B$5, 2, FALSE))+H28)</f>
        <v/>
      </c>
      <c r="K28" s="1"/>
    </row>
    <row r="29" spans="5:11">
      <c r="E29" t="s">
        <v>60</v>
      </c>
      <c r="H29">
        <f>F29*SUM('Konfigurace režií na úkolech'!$E$2:$E$10)/100</f>
        <v>0</v>
      </c>
      <c r="J29" s="1" t="str">
        <f>IF(OR(F29="",E29="",H29=""), "", (F29*VLOOKUP(E29, 'Konfigurace komplexity'!$A$2:$B$5, 2, FALSE))+H29)</f>
        <v/>
      </c>
      <c r="K29" s="1"/>
    </row>
    <row r="30" spans="5:11">
      <c r="E30" t="s">
        <v>60</v>
      </c>
      <c r="H30">
        <f>F30*SUM('Konfigurace režií na úkolech'!$E$2:$E$10)/100</f>
        <v>0</v>
      </c>
      <c r="J30" s="1" t="str">
        <f>IF(OR(F30="",E30="",H30=""), "", (F30*VLOOKUP(E30, 'Konfigurace komplexity'!$A$2:$B$5, 2, FALSE))+H30)</f>
        <v/>
      </c>
      <c r="K30" s="1"/>
    </row>
    <row r="31" spans="5:11">
      <c r="E31" t="s">
        <v>60</v>
      </c>
      <c r="H31">
        <f>F31*SUM('Konfigurace režií na úkolech'!$E$2:$E$10)/100</f>
        <v>0</v>
      </c>
      <c r="J31" s="1" t="str">
        <f>IF(OR(F31="",E31="",H31=""), "", (F31*VLOOKUP(E31, 'Konfigurace komplexity'!$A$2:$B$5, 2, FALSE))+H31)</f>
        <v/>
      </c>
      <c r="K31" s="1"/>
    </row>
    <row r="32" spans="5:11">
      <c r="E32" t="s">
        <v>60</v>
      </c>
      <c r="H32">
        <f>F32*SUM('Konfigurace režií na úkolech'!$E$2:$E$10)/100</f>
        <v>0</v>
      </c>
      <c r="J32" s="1" t="str">
        <f>IF(OR(F32="",E32="",H32=""), "", (F32*VLOOKUP(E32, 'Konfigurace komplexity'!$A$2:$B$5, 2, FALSE))+H32)</f>
        <v/>
      </c>
      <c r="K32" s="1"/>
    </row>
    <row r="33" spans="5:11">
      <c r="E33" t="s">
        <v>60</v>
      </c>
      <c r="H33">
        <f>F33*SUM('Konfigurace režií na úkolech'!$E$2:$E$10)/100</f>
        <v>0</v>
      </c>
      <c r="J33" s="1" t="str">
        <f>IF(OR(F33="",E33="",H33=""), "", (F33*VLOOKUP(E33, 'Konfigurace komplexity'!$A$2:$B$5, 2, FALSE))+H33)</f>
        <v/>
      </c>
      <c r="K33" s="1"/>
    </row>
    <row r="34" spans="5:11">
      <c r="E34" t="s">
        <v>60</v>
      </c>
      <c r="H34">
        <f>F34*SUM('Konfigurace režií na úkolech'!$E$2:$E$10)/100</f>
        <v>0</v>
      </c>
      <c r="J34" s="1" t="str">
        <f>IF(OR(F34="",E34="",H34=""), "", (F34*VLOOKUP(E34, 'Konfigurace komplexity'!$A$2:$B$5, 2, FALSE))+H34)</f>
        <v/>
      </c>
      <c r="K34" s="1"/>
    </row>
    <row r="35" spans="5:11">
      <c r="E35" t="s">
        <v>60</v>
      </c>
      <c r="H35">
        <f>F35*SUM('Konfigurace režií na úkolech'!$E$2:$E$10)/100</f>
        <v>0</v>
      </c>
      <c r="J35" s="1" t="str">
        <f>IF(OR(F35="",E35="",H35=""), "", (F35*VLOOKUP(E35, 'Konfigurace komplexity'!$A$2:$B$5, 2, FALSE))+H35)</f>
        <v/>
      </c>
      <c r="K35" s="1"/>
    </row>
    <row r="36" spans="5:11">
      <c r="E36" t="s">
        <v>60</v>
      </c>
      <c r="H36">
        <f>F36*SUM('Konfigurace režií na úkolech'!$E$2:$E$10)/100</f>
        <v>0</v>
      </c>
      <c r="J36" s="1" t="str">
        <f>IF(OR(F36="",E36="",H36=""), "", (F36*VLOOKUP(E36, 'Konfigurace komplexity'!$A$2:$B$5, 2, FALSE))+H36)</f>
        <v/>
      </c>
      <c r="K36" s="1"/>
    </row>
    <row r="37" spans="5:11">
      <c r="E37" t="s">
        <v>60</v>
      </c>
      <c r="H37">
        <f>F37*SUM('Konfigurace režií na úkolech'!$E$2:$E$10)/100</f>
        <v>0</v>
      </c>
      <c r="J37" s="1" t="str">
        <f>IF(OR(F37="",E37="",H37=""), "", (F37*VLOOKUP(E37, 'Konfigurace komplexity'!$A$2:$B$5, 2, FALSE))+H37)</f>
        <v/>
      </c>
      <c r="K37" s="1"/>
    </row>
    <row r="38" spans="5:11">
      <c r="E38" t="s">
        <v>60</v>
      </c>
      <c r="H38">
        <f>F38*SUM('Konfigurace režií na úkolech'!$E$2:$E$10)/100</f>
        <v>0</v>
      </c>
      <c r="J38" s="1" t="str">
        <f>IF(OR(F38="",E38="",H38=""), "", (F38*VLOOKUP(E38, 'Konfigurace komplexity'!$A$2:$B$5, 2, FALSE))+H38)</f>
        <v/>
      </c>
      <c r="K38" s="1"/>
    </row>
    <row r="39" spans="5:11">
      <c r="E39" t="s">
        <v>60</v>
      </c>
      <c r="H39">
        <f>F39*SUM('Konfigurace režií na úkolech'!$E$2:$E$10)/100</f>
        <v>0</v>
      </c>
      <c r="J39" s="1" t="str">
        <f>IF(OR(F39="",E39="",H39=""), "", (F39*VLOOKUP(E39, 'Konfigurace komplexity'!$A$2:$B$5, 2, FALSE))+H39)</f>
        <v/>
      </c>
      <c r="K39" s="1"/>
    </row>
    <row r="40" spans="5:11">
      <c r="E40" t="s">
        <v>60</v>
      </c>
      <c r="H40">
        <f>F40*SUM('Konfigurace režií na úkolech'!$E$2:$E$10)/100</f>
        <v>0</v>
      </c>
      <c r="J40" s="1" t="str">
        <f>IF(OR(F40="",E40="",H40=""), "", (F40*VLOOKUP(E40, 'Konfigurace komplexity'!$A$2:$B$5, 2, FALSE))+H40)</f>
        <v/>
      </c>
      <c r="K40" s="1"/>
    </row>
    <row r="41" spans="5:11">
      <c r="E41" t="s">
        <v>60</v>
      </c>
      <c r="H41">
        <f>F41*SUM('Konfigurace režií na úkolech'!$E$2:$E$10)/100</f>
        <v>0</v>
      </c>
      <c r="J41" s="1" t="str">
        <f>IF(OR(F41="",E41="",H41=""), "", (F41*VLOOKUP(E41, 'Konfigurace komplexity'!$A$2:$B$5, 2, FALSE))+H41)</f>
        <v/>
      </c>
      <c r="K41" s="1"/>
    </row>
    <row r="42" spans="5:11">
      <c r="E42" t="s">
        <v>60</v>
      </c>
      <c r="H42">
        <f>F42*SUM('Konfigurace režií na úkolech'!$E$2:$E$10)/100</f>
        <v>0</v>
      </c>
      <c r="J42" s="1" t="str">
        <f>IF(OR(F42="",E42="",H42=""), "", (F42*VLOOKUP(E42, 'Konfigurace komplexity'!$A$2:$B$5, 2, FALSE))+H42)</f>
        <v/>
      </c>
      <c r="K42" s="1"/>
    </row>
    <row r="43" spans="5:11">
      <c r="E43" t="s">
        <v>60</v>
      </c>
      <c r="H43">
        <f>F43*SUM('Konfigurace režií na úkolech'!$E$2:$E$10)/100</f>
        <v>0</v>
      </c>
      <c r="J43" s="1" t="str">
        <f>IF(OR(F43="",E43="",H43=""), "", (F43*VLOOKUP(E43, 'Konfigurace komplexity'!$A$2:$B$5, 2, FALSE))+H43)</f>
        <v/>
      </c>
      <c r="K43" s="1"/>
    </row>
    <row r="44" spans="5:11">
      <c r="E44" t="s">
        <v>60</v>
      </c>
      <c r="H44">
        <f>F44*SUM('Konfigurace režií na úkolech'!$E$2:$E$10)/100</f>
        <v>0</v>
      </c>
      <c r="J44" s="1" t="str">
        <f>IF(OR(F44="",E44="",H44=""), "", (F44*VLOOKUP(E44, 'Konfigurace komplexity'!$A$2:$B$5, 2, FALSE))+H44)</f>
        <v/>
      </c>
      <c r="K44" s="1"/>
    </row>
    <row r="45" spans="5:11">
      <c r="E45" t="s">
        <v>60</v>
      </c>
      <c r="H45">
        <f>F45*SUM('Konfigurace režií na úkolech'!$E$2:$E$10)/100</f>
        <v>0</v>
      </c>
      <c r="J45" s="1" t="str">
        <f>IF(OR(F45="",E45="",H45=""), "", (F45*VLOOKUP(E45, 'Konfigurace komplexity'!$A$2:$B$5, 2, FALSE))+H45)</f>
        <v/>
      </c>
      <c r="K45" s="1"/>
    </row>
    <row r="46" spans="5:11">
      <c r="E46" t="s">
        <v>60</v>
      </c>
      <c r="H46">
        <f>F46*SUM('Konfigurace režií na úkolech'!$E$2:$E$10)/100</f>
        <v>0</v>
      </c>
      <c r="J46" s="1" t="str">
        <f>IF(OR(F46="",E46="",H46=""), "", (F46*VLOOKUP(E46, 'Konfigurace komplexity'!$A$2:$B$5, 2, FALSE))+H46)</f>
        <v/>
      </c>
      <c r="K46" s="1"/>
    </row>
    <row r="47" spans="5:11">
      <c r="E47" t="s">
        <v>60</v>
      </c>
      <c r="H47">
        <f>F47*SUM('Konfigurace režií na úkolech'!$E$2:$E$10)/100</f>
        <v>0</v>
      </c>
      <c r="J47" s="1" t="str">
        <f>IF(OR(F47="",E47="",H47=""), "", (F47*VLOOKUP(E47, 'Konfigurace komplexity'!$A$2:$B$5, 2, FALSE))+H47)</f>
        <v/>
      </c>
      <c r="K47" s="1"/>
    </row>
    <row r="48" spans="5:11">
      <c r="E48" t="s">
        <v>60</v>
      </c>
      <c r="H48">
        <f>F48*SUM('Konfigurace režií na úkolech'!$E$2:$E$10)/100</f>
        <v>0</v>
      </c>
      <c r="J48" s="1" t="str">
        <f>IF(OR(F48="",E48="",H48=""), "", (F48*VLOOKUP(E48, 'Konfigurace komplexity'!$A$2:$B$5, 2, FALSE))+H48)</f>
        <v/>
      </c>
      <c r="K48" s="1"/>
    </row>
    <row r="49" spans="5:11">
      <c r="E49" t="s">
        <v>60</v>
      </c>
      <c r="H49">
        <f>F49*SUM('Konfigurace režií na úkolech'!$E$2:$E$10)/100</f>
        <v>0</v>
      </c>
      <c r="J49" s="1" t="str">
        <f>IF(OR(F49="",E49="",H49=""), "", (F49*VLOOKUP(E49, 'Konfigurace komplexity'!$A$2:$B$5, 2, FALSE))+H49)</f>
        <v/>
      </c>
      <c r="K49" s="1"/>
    </row>
    <row r="50" spans="5:11">
      <c r="E50" t="s">
        <v>60</v>
      </c>
      <c r="H50">
        <f>F50*SUM('Konfigurace režií na úkolech'!$E$2:$E$10)/100</f>
        <v>0</v>
      </c>
      <c r="J50" s="1" t="str">
        <f>IF(OR(F50="",E50="",H50=""), "", (F50*VLOOKUP(E50, 'Konfigurace komplexity'!$A$2:$B$5, 2, FALSE))+H50)</f>
        <v/>
      </c>
      <c r="K50" s="1"/>
    </row>
    <row r="51" spans="5:11">
      <c r="E51" t="s">
        <v>60</v>
      </c>
      <c r="H51">
        <f>F51*SUM('Konfigurace režií na úkolech'!$E$2:$E$10)/100</f>
        <v>0</v>
      </c>
      <c r="J51" s="1" t="str">
        <f>IF(OR(F51="",E51="",H51=""), "", (F51*VLOOKUP(E51, 'Konfigurace komplexity'!$A$2:$B$5, 2, FALSE))+H51)</f>
        <v/>
      </c>
      <c r="K51" s="1"/>
    </row>
    <row r="52" spans="5:11">
      <c r="E52" t="s">
        <v>60</v>
      </c>
      <c r="H52">
        <f>F52*SUM('Konfigurace režií na úkolech'!$E$2:$E$10)/100</f>
        <v>0</v>
      </c>
      <c r="J52" s="1" t="str">
        <f>IF(OR(F52="",E52="",H52=""), "", (F52*VLOOKUP(E52, 'Konfigurace komplexity'!$A$2:$B$5, 2, FALSE))+H52)</f>
        <v/>
      </c>
      <c r="K52" s="1"/>
    </row>
    <row r="53" spans="5:11">
      <c r="E53" t="s">
        <v>60</v>
      </c>
      <c r="H53">
        <f>F53*SUM('Konfigurace režií na úkolech'!$E$2:$E$10)/100</f>
        <v>0</v>
      </c>
      <c r="J53" s="1" t="str">
        <f>IF(OR(F53="",E53="",H53=""), "", (F53*VLOOKUP(E53, 'Konfigurace komplexity'!$A$2:$B$5, 2, FALSE))+H53)</f>
        <v/>
      </c>
      <c r="K53" s="1"/>
    </row>
    <row r="54" spans="5:11">
      <c r="E54" t="s">
        <v>60</v>
      </c>
      <c r="H54">
        <f>F54*SUM('Konfigurace režií na úkolech'!$E$2:$E$10)/100</f>
        <v>0</v>
      </c>
      <c r="J54" s="1" t="str">
        <f>IF(OR(F54="",E54="",H54=""), "", (F54*VLOOKUP(E54, 'Konfigurace komplexity'!$A$2:$B$5, 2, FALSE))+H54)</f>
        <v/>
      </c>
      <c r="K54" s="1"/>
    </row>
    <row r="55" spans="5:11">
      <c r="E55" t="s">
        <v>60</v>
      </c>
      <c r="H55">
        <f>F55*SUM('Konfigurace režií na úkolech'!$E$2:$E$10)/100</f>
        <v>0</v>
      </c>
      <c r="J55" s="1" t="str">
        <f>IF(OR(F55="",E55="",H55=""), "", (F55*VLOOKUP(E55, 'Konfigurace komplexity'!$A$2:$B$5, 2, FALSE))+H55)</f>
        <v/>
      </c>
      <c r="K55" s="1"/>
    </row>
    <row r="56" spans="5:11">
      <c r="E56" t="s">
        <v>60</v>
      </c>
      <c r="H56">
        <f>F56*SUM('Konfigurace režií na úkolech'!$E$2:$E$10)/100</f>
        <v>0</v>
      </c>
      <c r="J56" s="1" t="str">
        <f>IF(OR(F56="",E56="",H56=""), "", (F56*VLOOKUP(E56, 'Konfigurace komplexity'!$A$2:$B$5, 2, FALSE))+H56)</f>
        <v/>
      </c>
      <c r="K56" s="1"/>
    </row>
    <row r="57" spans="5:11">
      <c r="E57" t="s">
        <v>60</v>
      </c>
      <c r="H57">
        <f>F57*SUM('Konfigurace režií na úkolech'!$E$2:$E$10)/100</f>
        <v>0</v>
      </c>
      <c r="J57" s="1" t="str">
        <f>IF(OR(F57="",E57="",H57=""), "", (F57*VLOOKUP(E57, 'Konfigurace komplexity'!$A$2:$B$5, 2, FALSE))+H57)</f>
        <v/>
      </c>
      <c r="K57" s="1"/>
    </row>
    <row r="58" spans="5:11">
      <c r="E58" t="s">
        <v>60</v>
      </c>
      <c r="H58">
        <f>F58*SUM('Konfigurace režií na úkolech'!$E$2:$E$10)/100</f>
        <v>0</v>
      </c>
      <c r="J58" s="1" t="str">
        <f>IF(OR(F58="",E58="",H58=""), "", (F58*VLOOKUP(E58, 'Konfigurace komplexity'!$A$2:$B$5, 2, FALSE))+H58)</f>
        <v/>
      </c>
      <c r="K58" s="1"/>
    </row>
    <row r="59" spans="5:11">
      <c r="E59" t="s">
        <v>60</v>
      </c>
      <c r="H59">
        <f>F59*SUM('Konfigurace režií na úkolech'!$E$2:$E$10)/100</f>
        <v>0</v>
      </c>
      <c r="J59" s="1" t="str">
        <f>IF(OR(F59="",E59="",H59=""), "", (F59*VLOOKUP(E59, 'Konfigurace komplexity'!$A$2:$B$5, 2, FALSE))+H59)</f>
        <v/>
      </c>
      <c r="K59" s="1"/>
    </row>
    <row r="60" spans="5:11">
      <c r="E60" t="s">
        <v>60</v>
      </c>
      <c r="H60">
        <f>F60*SUM('Konfigurace režií na úkolech'!$E$2:$E$10)/100</f>
        <v>0</v>
      </c>
      <c r="J60" s="1" t="str">
        <f>IF(OR(F60="",E60="",H60=""), "", (F60*VLOOKUP(E60, 'Konfigurace komplexity'!$A$2:$B$5, 2, FALSE))+H60)</f>
        <v/>
      </c>
      <c r="K60" s="1"/>
    </row>
    <row r="61" spans="5:11">
      <c r="E61" t="s">
        <v>60</v>
      </c>
      <c r="H61">
        <f>F61*SUM('Konfigurace režií na úkolech'!$E$2:$E$10)/100</f>
        <v>0</v>
      </c>
      <c r="J61" s="1" t="str">
        <f>IF(OR(F61="",E61="",H61=""), "", (F61*VLOOKUP(E61, 'Konfigurace komplexity'!$A$2:$B$5, 2, FALSE))+H61)</f>
        <v/>
      </c>
      <c r="K61" s="1"/>
    </row>
    <row r="62" spans="5:11">
      <c r="E62" t="s">
        <v>60</v>
      </c>
      <c r="H62">
        <f>F62*SUM('Konfigurace režií na úkolech'!$E$2:$E$10)/100</f>
        <v>0</v>
      </c>
      <c r="J62" s="1" t="str">
        <f>IF(OR(F62="",E62="",H62=""), "", (F62*VLOOKUP(E62, 'Konfigurace komplexity'!$A$2:$B$5, 2, FALSE))+H62)</f>
        <v/>
      </c>
      <c r="K62" s="1"/>
    </row>
    <row r="63" spans="5:11">
      <c r="E63" t="s">
        <v>60</v>
      </c>
      <c r="H63">
        <f>F63*SUM('Konfigurace režií na úkolech'!$E$2:$E$10)/100</f>
        <v>0</v>
      </c>
      <c r="J63" s="1" t="str">
        <f>IF(OR(F63="",E63="",H63=""), "", (F63*VLOOKUP(E63, 'Konfigurace komplexity'!$A$2:$B$5, 2, FALSE))+H63)</f>
        <v/>
      </c>
      <c r="K63" s="1"/>
    </row>
    <row r="64" spans="5:11">
      <c r="E64" t="s">
        <v>60</v>
      </c>
      <c r="H64">
        <f>F64*SUM('Konfigurace režií na úkolech'!$E$2:$E$10)/100</f>
        <v>0</v>
      </c>
      <c r="J64" s="1" t="str">
        <f>IF(OR(F64="",E64="",H64=""), "", (F64*VLOOKUP(E64, 'Konfigurace komplexity'!$A$2:$B$5, 2, FALSE))+H64)</f>
        <v/>
      </c>
      <c r="K64" s="1"/>
    </row>
    <row r="65" spans="5:11">
      <c r="E65" t="s">
        <v>60</v>
      </c>
      <c r="H65">
        <f>F65*SUM('Konfigurace režií na úkolech'!$E$2:$E$10)/100</f>
        <v>0</v>
      </c>
      <c r="J65" s="1" t="str">
        <f>IF(OR(F65="",E65="",H65=""), "", (F65*VLOOKUP(E65, 'Konfigurace komplexity'!$A$2:$B$5, 2, FALSE))+H65)</f>
        <v/>
      </c>
      <c r="K65" s="1"/>
    </row>
    <row r="66" spans="5:11">
      <c r="E66" t="s">
        <v>60</v>
      </c>
      <c r="H66">
        <f>F66*SUM('Konfigurace režií na úkolech'!$E$2:$E$10)/100</f>
        <v>0</v>
      </c>
      <c r="J66" s="1" t="str">
        <f>IF(OR(F66="",E66="",H66=""), "", (F66*VLOOKUP(E66, 'Konfigurace komplexity'!$A$2:$B$5, 2, FALSE))+H66)</f>
        <v/>
      </c>
      <c r="K66" s="1"/>
    </row>
    <row r="67" spans="5:11">
      <c r="E67" t="s">
        <v>60</v>
      </c>
      <c r="H67">
        <f>F67*SUM('Konfigurace režií na úkolech'!$E$2:$E$10)/100</f>
        <v>0</v>
      </c>
      <c r="J67" s="1" t="str">
        <f>IF(OR(F67="",E67="",H67=""), "", (F67*VLOOKUP(E67, 'Konfigurace komplexity'!$A$2:$B$5, 2, FALSE))+H67)</f>
        <v/>
      </c>
      <c r="K67" s="1"/>
    </row>
    <row r="68" spans="5:11">
      <c r="E68" t="s">
        <v>60</v>
      </c>
      <c r="H68">
        <f>F68*SUM('Konfigurace režií na úkolech'!$E$2:$E$10)/100</f>
        <v>0</v>
      </c>
      <c r="J68" s="1" t="str">
        <f>IF(OR(F68="",E68="",H68=""), "", (F68*VLOOKUP(E68, 'Konfigurace komplexity'!$A$2:$B$5, 2, FALSE))+H68)</f>
        <v/>
      </c>
      <c r="K68" s="1"/>
    </row>
    <row r="69" spans="5:11">
      <c r="E69" t="s">
        <v>60</v>
      </c>
      <c r="H69">
        <f>F69*SUM('Konfigurace režií na úkolech'!$E$2:$E$10)/100</f>
        <v>0</v>
      </c>
      <c r="J69" s="1" t="str">
        <f>IF(OR(F69="",E69="",H69=""), "", (F69*VLOOKUP(E69, 'Konfigurace komplexity'!$A$2:$B$5, 2, FALSE))+H69)</f>
        <v/>
      </c>
      <c r="K69" s="1"/>
    </row>
    <row r="70" spans="5:11">
      <c r="E70" t="s">
        <v>60</v>
      </c>
      <c r="H70">
        <f>F70*SUM('Konfigurace režií na úkolech'!$E$2:$E$10)/100</f>
        <v>0</v>
      </c>
      <c r="J70" s="1" t="str">
        <f>IF(OR(F70="",E70="",H70=""), "", (F70*VLOOKUP(E70, 'Konfigurace komplexity'!$A$2:$B$5, 2, FALSE))+H70)</f>
        <v/>
      </c>
      <c r="K70" s="1"/>
    </row>
    <row r="71" spans="5:11">
      <c r="E71" t="s">
        <v>60</v>
      </c>
      <c r="H71">
        <f>F71*SUM('Konfigurace režií na úkolech'!$E$2:$E$10)/100</f>
        <v>0</v>
      </c>
      <c r="J71" s="1" t="str">
        <f>IF(OR(F71="",E71="",H71=""), "", (F71*VLOOKUP(E71, 'Konfigurace komplexity'!$A$2:$B$5, 2, FALSE))+H71)</f>
        <v/>
      </c>
      <c r="K71" s="1"/>
    </row>
    <row r="72" spans="5:11">
      <c r="E72" t="s">
        <v>60</v>
      </c>
      <c r="H72">
        <f>F72*SUM('Konfigurace režií na úkolech'!$E$2:$E$10)/100</f>
        <v>0</v>
      </c>
      <c r="J72" s="1" t="str">
        <f>IF(OR(F72="",E72="",H72=""), "", (F72*VLOOKUP(E72, 'Konfigurace komplexity'!$A$2:$B$5, 2, FALSE))+H72)</f>
        <v/>
      </c>
      <c r="K72" s="1"/>
    </row>
    <row r="73" spans="5:11">
      <c r="E73" t="s">
        <v>60</v>
      </c>
      <c r="H73">
        <f>F73*SUM('Konfigurace režií na úkolech'!$E$2:$E$10)/100</f>
        <v>0</v>
      </c>
      <c r="J73" s="1" t="str">
        <f>IF(OR(F73="",E73="",H73=""), "", (F73*VLOOKUP(E73, 'Konfigurace komplexity'!$A$2:$B$5, 2, FALSE))+H73)</f>
        <v/>
      </c>
      <c r="K73" s="1"/>
    </row>
    <row r="74" spans="5:11">
      <c r="E74" t="s">
        <v>60</v>
      </c>
      <c r="H74">
        <f>F74*SUM('Konfigurace režií na úkolech'!$E$2:$E$10)/100</f>
        <v>0</v>
      </c>
      <c r="J74" s="1" t="str">
        <f>IF(OR(F74="",E74="",H74=""), "", (F74*VLOOKUP(E74, 'Konfigurace komplexity'!$A$2:$B$5, 2, FALSE))+H74)</f>
        <v/>
      </c>
      <c r="K74" s="1"/>
    </row>
    <row r="75" spans="5:11">
      <c r="E75" t="s">
        <v>60</v>
      </c>
      <c r="H75">
        <f>F75*SUM('Konfigurace režií na úkolech'!$E$2:$E$10)/100</f>
        <v>0</v>
      </c>
      <c r="J75" s="1" t="str">
        <f>IF(OR(F75="",E75="",H75=""), "", (F75*VLOOKUP(E75, 'Konfigurace komplexity'!$A$2:$B$5, 2, FALSE))+H75)</f>
        <v/>
      </c>
      <c r="K75" s="1"/>
    </row>
    <row r="76" spans="5:11">
      <c r="E76" t="s">
        <v>60</v>
      </c>
      <c r="H76">
        <f>F76*SUM('Konfigurace režií na úkolech'!$E$2:$E$10)/100</f>
        <v>0</v>
      </c>
      <c r="J76" s="1" t="str">
        <f>IF(OR(F76="",E76="",H76=""), "", (F76*VLOOKUP(E76, 'Konfigurace komplexity'!$A$2:$B$5, 2, FALSE))+H76)</f>
        <v/>
      </c>
      <c r="K76" s="1"/>
    </row>
    <row r="77" spans="5:11">
      <c r="E77" t="s">
        <v>60</v>
      </c>
      <c r="H77">
        <f>F77*SUM('Konfigurace režií na úkolech'!$E$2:$E$10)/100</f>
        <v>0</v>
      </c>
      <c r="J77" s="1" t="str">
        <f>IF(OR(F77="",E77="",H77=""), "", (F77*VLOOKUP(E77, 'Konfigurace komplexity'!$A$2:$B$5, 2, FALSE))+H77)</f>
        <v/>
      </c>
      <c r="K77" s="1"/>
    </row>
    <row r="78" spans="5:11">
      <c r="E78" t="s">
        <v>60</v>
      </c>
      <c r="H78">
        <f>F78*SUM('Konfigurace režií na úkolech'!$E$2:$E$10)/100</f>
        <v>0</v>
      </c>
      <c r="J78" s="1" t="str">
        <f>IF(OR(F78="",E78="",H78=""), "", (F78*VLOOKUP(E78, 'Konfigurace komplexity'!$A$2:$B$5, 2, FALSE))+H78)</f>
        <v/>
      </c>
      <c r="K78" s="1"/>
    </row>
    <row r="79" spans="5:11">
      <c r="E79" t="s">
        <v>60</v>
      </c>
      <c r="H79">
        <f>F79*SUM('Konfigurace režií na úkolech'!$E$2:$E$10)/100</f>
        <v>0</v>
      </c>
      <c r="J79" s="1" t="str">
        <f>IF(OR(F79="",E79="",H79=""), "", (F79*VLOOKUP(E79, 'Konfigurace komplexity'!$A$2:$B$5, 2, FALSE))+H79)</f>
        <v/>
      </c>
      <c r="K79" s="1"/>
    </row>
    <row r="80" spans="5:11">
      <c r="E80" t="s">
        <v>60</v>
      </c>
      <c r="H80">
        <f>F80*SUM('Konfigurace režií na úkolech'!$E$2:$E$10)/100</f>
        <v>0</v>
      </c>
      <c r="J80" s="1" t="str">
        <f>IF(OR(F80="",E80="",H80=""), "", (F80*VLOOKUP(E80, 'Konfigurace komplexity'!$A$2:$B$5, 2, FALSE))+H80)</f>
        <v/>
      </c>
      <c r="K80" s="1"/>
    </row>
    <row r="81" spans="5:11">
      <c r="E81" t="s">
        <v>60</v>
      </c>
      <c r="H81">
        <f>F81*SUM('Konfigurace režií na úkolech'!$E$2:$E$10)/100</f>
        <v>0</v>
      </c>
      <c r="J81" s="1" t="str">
        <f>IF(OR(F81="",E81="",H81=""), "", (F81*VLOOKUP(E81, 'Konfigurace komplexity'!$A$2:$B$5, 2, FALSE))+H81)</f>
        <v/>
      </c>
      <c r="K81" s="1"/>
    </row>
    <row r="82" spans="5:11">
      <c r="E82" t="s">
        <v>60</v>
      </c>
      <c r="H82">
        <f>F82*SUM('Konfigurace režií na úkolech'!$E$2:$E$10)/100</f>
        <v>0</v>
      </c>
      <c r="J82" s="1" t="str">
        <f>IF(OR(F82="",E82="",H82=""), "", (F82*VLOOKUP(E82, 'Konfigurace komplexity'!$A$2:$B$5, 2, FALSE))+H82)</f>
        <v/>
      </c>
      <c r="K82" s="1"/>
    </row>
    <row r="83" spans="5:11">
      <c r="E83" t="s">
        <v>60</v>
      </c>
      <c r="H83">
        <f>F83*SUM('Konfigurace režií na úkolech'!$E$2:$E$10)/100</f>
        <v>0</v>
      </c>
      <c r="J83" s="1" t="str">
        <f>IF(OR(F83="",E83="",H83=""), "", (F83*VLOOKUP(E83, 'Konfigurace komplexity'!$A$2:$B$5, 2, FALSE))+H83)</f>
        <v/>
      </c>
      <c r="K83" s="1"/>
    </row>
    <row r="84" spans="5:11">
      <c r="E84" t="s">
        <v>60</v>
      </c>
      <c r="H84">
        <f>F84*SUM('Konfigurace režií na úkolech'!$E$2:$E$10)/100</f>
        <v>0</v>
      </c>
      <c r="J84" s="1" t="str">
        <f>IF(OR(F84="",E84="",H84=""), "", (F84*VLOOKUP(E84, 'Konfigurace komplexity'!$A$2:$B$5, 2, FALSE))+H84)</f>
        <v/>
      </c>
      <c r="K84" s="1"/>
    </row>
    <row r="85" spans="5:11">
      <c r="E85" t="s">
        <v>60</v>
      </c>
      <c r="H85">
        <f>F85*SUM('Konfigurace režií na úkolech'!$E$2:$E$10)/100</f>
        <v>0</v>
      </c>
      <c r="J85" s="1" t="str">
        <f>IF(OR(F85="",E85="",H85=""), "", (F85*VLOOKUP(E85, 'Konfigurace komplexity'!$A$2:$B$5, 2, FALSE))+H85)</f>
        <v/>
      </c>
      <c r="K85" s="1"/>
    </row>
    <row r="86" spans="5:11">
      <c r="E86" t="s">
        <v>60</v>
      </c>
      <c r="H86">
        <f>F86*SUM('Konfigurace režií na úkolech'!$E$2:$E$10)/100</f>
        <v>0</v>
      </c>
      <c r="J86" s="1" t="str">
        <f>IF(OR(F86="",E86="",H86=""), "", (F86*VLOOKUP(E86, 'Konfigurace komplexity'!$A$2:$B$5, 2, FALSE))+H86)</f>
        <v/>
      </c>
      <c r="K86" s="1"/>
    </row>
    <row r="87" spans="5:11">
      <c r="E87" t="s">
        <v>60</v>
      </c>
      <c r="H87">
        <f>F87*SUM('Konfigurace režií na úkolech'!$E$2:$E$10)/100</f>
        <v>0</v>
      </c>
      <c r="J87" s="1" t="str">
        <f>IF(OR(F87="",E87="",H87=""), "", (F87*VLOOKUP(E87, 'Konfigurace komplexity'!$A$2:$B$5, 2, FALSE))+H87)</f>
        <v/>
      </c>
      <c r="K87" s="1"/>
    </row>
    <row r="88" spans="5:11">
      <c r="E88" t="s">
        <v>60</v>
      </c>
      <c r="H88">
        <f>F88*SUM('Konfigurace režií na úkolech'!$E$2:$E$10)/100</f>
        <v>0</v>
      </c>
      <c r="J88" s="1" t="str">
        <f>IF(OR(F88="",E88="",H88=""), "", (F88*VLOOKUP(E88, 'Konfigurace komplexity'!$A$2:$B$5, 2, FALSE))+H88)</f>
        <v/>
      </c>
      <c r="K88" s="1"/>
    </row>
    <row r="89" spans="5:11">
      <c r="E89" t="s">
        <v>60</v>
      </c>
      <c r="H89">
        <f>F89*SUM('Konfigurace režií na úkolech'!$E$2:$E$10)/100</f>
        <v>0</v>
      </c>
      <c r="J89" s="1" t="str">
        <f>IF(OR(F89="",E89="",H89=""), "", (F89*VLOOKUP(E89, 'Konfigurace komplexity'!$A$2:$B$5, 2, FALSE))+H89)</f>
        <v/>
      </c>
      <c r="K89" s="1"/>
    </row>
    <row r="90" spans="5:11">
      <c r="E90" t="s">
        <v>60</v>
      </c>
      <c r="H90">
        <f>F90*SUM('Konfigurace režií na úkolech'!$E$2:$E$10)/100</f>
        <v>0</v>
      </c>
      <c r="J90" s="1" t="str">
        <f>IF(OR(F90="",E90="",H90=""), "", (F90*VLOOKUP(E90, 'Konfigurace komplexity'!$A$2:$B$5, 2, FALSE))+H90)</f>
        <v/>
      </c>
      <c r="K90" s="1"/>
    </row>
    <row r="91" spans="5:11">
      <c r="E91" t="s">
        <v>60</v>
      </c>
      <c r="H91">
        <f>F91*SUM('Konfigurace režií na úkolech'!$E$2:$E$10)/100</f>
        <v>0</v>
      </c>
      <c r="J91" s="1" t="str">
        <f>IF(OR(F91="",E91="",H91=""), "", (F91*VLOOKUP(E91, 'Konfigurace komplexity'!$A$2:$B$5, 2, FALSE))+H91)</f>
        <v/>
      </c>
      <c r="K91" s="1"/>
    </row>
    <row r="92" spans="5:11">
      <c r="E92" t="s">
        <v>60</v>
      </c>
      <c r="H92">
        <f>F92*SUM('Konfigurace režií na úkolech'!$E$2:$E$10)/100</f>
        <v>0</v>
      </c>
      <c r="J92" s="1" t="str">
        <f>IF(OR(F92="",E92="",H92=""), "", (F92*VLOOKUP(E92, 'Konfigurace komplexity'!$A$2:$B$5, 2, FALSE))+H92)</f>
        <v/>
      </c>
      <c r="K92" s="1"/>
    </row>
    <row r="93" spans="5:11">
      <c r="E93" t="s">
        <v>60</v>
      </c>
      <c r="H93">
        <f>F93*SUM('Konfigurace režií na úkolech'!$E$2:$E$10)/100</f>
        <v>0</v>
      </c>
      <c r="J93" s="1" t="str">
        <f>IF(OR(F93="",E93="",H93=""), "", (F93*VLOOKUP(E93, 'Konfigurace komplexity'!$A$2:$B$5, 2, FALSE))+H93)</f>
        <v/>
      </c>
      <c r="K93" s="1"/>
    </row>
    <row r="94" spans="5:11">
      <c r="E94" t="s">
        <v>60</v>
      </c>
      <c r="H94">
        <f>F94*SUM('Konfigurace režií na úkolech'!$E$2:$E$10)/100</f>
        <v>0</v>
      </c>
      <c r="J94" s="1" t="str">
        <f>IF(OR(F94="",E94="",H94=""), "", (F94*VLOOKUP(E94, 'Konfigurace komplexity'!$A$2:$B$5, 2, FALSE))+H94)</f>
        <v/>
      </c>
      <c r="K94" s="1"/>
    </row>
    <row r="95" spans="5:11">
      <c r="E95" t="s">
        <v>60</v>
      </c>
      <c r="H95">
        <f>F95*SUM('Konfigurace režií na úkolech'!$E$2:$E$10)/100</f>
        <v>0</v>
      </c>
      <c r="J95" s="1" t="str">
        <f>IF(OR(F95="",E95="",H95=""), "", (F95*VLOOKUP(E95, 'Konfigurace komplexity'!$A$2:$B$5, 2, FALSE))+H95)</f>
        <v/>
      </c>
      <c r="K95" s="1"/>
    </row>
    <row r="96" spans="5:11">
      <c r="E96" t="s">
        <v>60</v>
      </c>
      <c r="H96">
        <f>F96*SUM('Konfigurace režií na úkolech'!$E$2:$E$10)/100</f>
        <v>0</v>
      </c>
      <c r="J96" s="1" t="str">
        <f>IF(OR(F96="",E96="",H96=""), "", (F96*VLOOKUP(E96, 'Konfigurace komplexity'!$A$2:$B$5, 2, FALSE))+H96)</f>
        <v/>
      </c>
      <c r="K96" s="1"/>
    </row>
    <row r="97" spans="5:11">
      <c r="E97" t="s">
        <v>60</v>
      </c>
      <c r="H97">
        <f>F97*SUM('Konfigurace režií na úkolech'!$E$2:$E$10)/100</f>
        <v>0</v>
      </c>
      <c r="J97" s="1" t="str">
        <f>IF(OR(F97="",E97="",H97=""), "", (F97*VLOOKUP(E97, 'Konfigurace komplexity'!$A$2:$B$5, 2, FALSE))+H97)</f>
        <v/>
      </c>
      <c r="K97" s="1"/>
    </row>
    <row r="98" spans="5:11">
      <c r="E98" t="s">
        <v>60</v>
      </c>
      <c r="H98">
        <f>F98*SUM('Konfigurace režií na úkolech'!$E$2:$E$10)/100</f>
        <v>0</v>
      </c>
      <c r="J98" s="1" t="str">
        <f>IF(OR(F98="",E98="",H98=""), "", (F98*VLOOKUP(E98, 'Konfigurace komplexity'!$A$2:$B$5, 2, FALSE))+H98)</f>
        <v/>
      </c>
      <c r="K98" s="1"/>
    </row>
    <row r="99" spans="5:11">
      <c r="E99" t="s">
        <v>60</v>
      </c>
      <c r="H99">
        <f>F99*SUM('Konfigurace režií na úkolech'!$E$2:$E$10)/100</f>
        <v>0</v>
      </c>
      <c r="J99" s="1" t="str">
        <f>IF(OR(F99="",E99="",H99=""), "", (F99*VLOOKUP(E99, 'Konfigurace komplexity'!$A$2:$B$5, 2, FALSE))+H99)</f>
        <v/>
      </c>
      <c r="K99" s="1"/>
    </row>
    <row r="100" spans="5:11">
      <c r="E100" t="s">
        <v>60</v>
      </c>
      <c r="H100">
        <f>F100*SUM('Konfigurace režií na úkolech'!$E$2:$E$10)/100</f>
        <v>0</v>
      </c>
      <c r="J100" s="1" t="str">
        <f>IF(OR(F100="",E100="",H100=""), "", (F100*VLOOKUP(E100, 'Konfigurace komplexity'!$A$2:$B$5, 2, FALSE))+H100)</f>
        <v/>
      </c>
      <c r="K100" s="1"/>
    </row>
  </sheetData>
  <conditionalFormatting sqref="E2:E100">
    <cfRule type="containsText" dxfId="3" priority="1" operator="containsText" text="standardní">
      <formula>NOT(ISERROR(SEARCH("standardní",E2)))</formula>
    </cfRule>
    <cfRule type="containsText" dxfId="2" priority="2" operator="containsText" text="vysoká">
      <formula>NOT(ISERROR(SEARCH("vysoká",E2)))</formula>
    </cfRule>
    <cfRule type="containsText" dxfId="1" priority="3" operator="containsText" text="velmi komplexní">
      <formula>NOT(ISERROR(SEARCH("velmi komplexní",E2)))</formula>
    </cfRule>
    <cfRule type="containsText" dxfId="0" priority="4" operator="containsText" text="riziková">
      <formula>NOT(ISERROR(SEARCH("riziková",E2)))</formula>
    </cfRule>
  </conditionalFormatting>
  <dataValidations count="1">
    <dataValidation type="list" allowBlank="1" showInputMessage="1" showErrorMessage="1" sqref="E2:E100" xr:uid="{1582ED06-F7EB-43FC-B2C4-9B6FDA24EFF5}">
      <formula1>"standardní,vysoká,velmi komplexní,riziková"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A4" sqref="A4"/>
    </sheetView>
  </sheetViews>
  <sheetFormatPr defaultRowHeight="15"/>
  <cols>
    <col min="1" max="1" width="40.28515625" customWidth="1"/>
    <col min="2" max="2" width="27" customWidth="1"/>
    <col min="4" max="4" width="40" customWidth="1"/>
    <col min="5" max="5" width="31.5703125" customWidth="1"/>
  </cols>
  <sheetData>
    <row r="1" spans="1:5">
      <c r="A1" s="2" t="s">
        <v>68</v>
      </c>
      <c r="B1" s="2" t="s">
        <v>69</v>
      </c>
      <c r="D1" s="2" t="s">
        <v>70</v>
      </c>
      <c r="E1" s="2" t="s">
        <v>69</v>
      </c>
    </row>
    <row r="2" spans="1:5">
      <c r="A2" t="s">
        <v>71</v>
      </c>
      <c r="B2">
        <v>0.5</v>
      </c>
      <c r="D2" t="s">
        <v>72</v>
      </c>
      <c r="E2">
        <v>3.6</v>
      </c>
    </row>
    <row r="3" spans="1:5">
      <c r="A3" t="s">
        <v>73</v>
      </c>
      <c r="B3">
        <v>0</v>
      </c>
      <c r="D3" t="s">
        <v>74</v>
      </c>
      <c r="E3">
        <v>3.6</v>
      </c>
    </row>
    <row r="4" spans="1:5">
      <c r="A4" t="s">
        <v>75</v>
      </c>
      <c r="B4">
        <v>0</v>
      </c>
      <c r="D4" t="s">
        <v>76</v>
      </c>
      <c r="E4">
        <v>3.6</v>
      </c>
    </row>
    <row r="5" spans="1:5">
      <c r="D5" t="s">
        <v>77</v>
      </c>
      <c r="E5">
        <v>3.6</v>
      </c>
    </row>
    <row r="6" spans="1:5">
      <c r="D6" t="s">
        <v>78</v>
      </c>
      <c r="E6">
        <v>3.6</v>
      </c>
    </row>
    <row r="7" spans="1:5">
      <c r="D7" t="s">
        <v>79</v>
      </c>
      <c r="E7">
        <v>3.6</v>
      </c>
    </row>
    <row r="8" spans="1:5">
      <c r="D8" t="s">
        <v>80</v>
      </c>
      <c r="E8">
        <v>3.6</v>
      </c>
    </row>
    <row r="9" spans="1:5">
      <c r="D9" t="s">
        <v>81</v>
      </c>
      <c r="E9">
        <v>3.6</v>
      </c>
    </row>
    <row r="10" spans="1:5">
      <c r="D10" t="s">
        <v>82</v>
      </c>
      <c r="E10">
        <v>3.6</v>
      </c>
    </row>
    <row r="11" spans="1:5">
      <c r="D11" t="s">
        <v>83</v>
      </c>
      <c r="E11">
        <v>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6" sqref="B6"/>
    </sheetView>
  </sheetViews>
  <sheetFormatPr defaultRowHeight="15"/>
  <cols>
    <col min="1" max="1" width="22" customWidth="1"/>
    <col min="2" max="2" width="11.42578125" customWidth="1"/>
  </cols>
  <sheetData>
    <row r="1" spans="1:2">
      <c r="A1" s="2" t="s">
        <v>84</v>
      </c>
      <c r="B1" s="2" t="s">
        <v>85</v>
      </c>
    </row>
    <row r="2" spans="1:2">
      <c r="A2" t="s">
        <v>60</v>
      </c>
      <c r="B2">
        <v>1</v>
      </c>
    </row>
    <row r="3" spans="1:2">
      <c r="A3" t="s">
        <v>58</v>
      </c>
      <c r="B3">
        <v>1</v>
      </c>
    </row>
    <row r="4" spans="1:2">
      <c r="A4" t="s">
        <v>56</v>
      </c>
      <c r="B4">
        <v>1</v>
      </c>
    </row>
    <row r="5" spans="1:2">
      <c r="A5" t="s">
        <v>67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2025-03-20T10:10:05Z</dcterms:created>
  <dcterms:modified xsi:type="dcterms:W3CDTF">2025-11-24T09:44:28Z</dcterms:modified>
  <cp:category/>
  <cp:contentStatus/>
</cp:coreProperties>
</file>